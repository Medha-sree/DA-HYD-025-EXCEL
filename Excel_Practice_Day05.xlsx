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55" documentId="8_{4AB3786F-2453-44E9-811E-EE9652AF3D59}" xr6:coauthVersionLast="47" xr6:coauthVersionMax="47" xr10:uidLastSave="{911B20A7-AA0E-4E5F-9AE9-4E29F339084B}"/>
  <bookViews>
    <workbookView xWindow="-108" yWindow="-108" windowWidth="23256" windowHeight="12456" activeTab="4" xr2:uid="{F2251847-4939-4738-9BAE-BB9233F399C5}"/>
  </bookViews>
  <sheets>
    <sheet name="Vlookup" sheetId="1" r:id="rId1"/>
    <sheet name="Hlookup" sheetId="2" r:id="rId2"/>
    <sheet name="Xlookup" sheetId="3" r:id="rId3"/>
    <sheet name="Practice" sheetId="4" r:id="rId4"/>
    <sheet name="Index, Match" sheetId="5" r:id="rId5"/>
    <sheet name="Practice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5" l="1" a="1"/>
  <c r="L7" i="5" s="1"/>
  <c r="K7" i="5"/>
  <c r="K8" i="5"/>
  <c r="K9" i="5"/>
  <c r="K10" i="5"/>
  <c r="K5" i="3"/>
  <c r="J6" i="3"/>
  <c r="J5" i="3"/>
  <c r="G6" i="3"/>
  <c r="P21" i="3" a="1"/>
  <c r="P21" i="3" s="1"/>
  <c r="O18" i="3"/>
  <c r="O13" i="3"/>
  <c r="O10" i="3"/>
  <c r="O11" i="2"/>
  <c r="Q11" i="1"/>
  <c r="D14" i="6"/>
  <c r="I11" i="6"/>
  <c r="I12" i="6"/>
  <c r="I13" i="6"/>
  <c r="I14" i="6"/>
  <c r="I10" i="6"/>
  <c r="H11" i="6"/>
  <c r="H12" i="6"/>
  <c r="H13" i="6"/>
  <c r="H14" i="6"/>
  <c r="H10" i="6"/>
  <c r="G11" i="6"/>
  <c r="G12" i="6"/>
  <c r="G13" i="6"/>
  <c r="G14" i="6"/>
  <c r="G10" i="6"/>
  <c r="F10" i="6"/>
  <c r="F11" i="6"/>
  <c r="F12" i="6"/>
  <c r="F13" i="6"/>
  <c r="F14" i="6"/>
  <c r="C8" i="2"/>
  <c r="C9" i="2"/>
  <c r="C10" i="2"/>
  <c r="C7" i="2"/>
  <c r="B8" i="2"/>
  <c r="B9" i="2"/>
  <c r="B10" i="2"/>
  <c r="B7" i="2"/>
  <c r="D16" i="6"/>
  <c r="F12" i="1"/>
  <c r="C11" i="1"/>
  <c r="C10" i="1"/>
  <c r="C9" i="1"/>
  <c r="C8" i="1"/>
  <c r="D12" i="6"/>
  <c r="D10" i="6"/>
  <c r="L8" i="5" a="1"/>
  <c r="L8" i="5"/>
  <c r="L9" i="5" a="1"/>
  <c r="L9" i="5"/>
  <c r="L10" i="5" a="1"/>
  <c r="L10" i="5"/>
  <c r="I11" i="4"/>
  <c r="I12" i="4"/>
  <c r="I13" i="4"/>
  <c r="I14" i="4"/>
  <c r="I10" i="4"/>
  <c r="L3" i="4"/>
  <c r="L4" i="4"/>
  <c r="L5" i="4"/>
  <c r="L6" i="4"/>
  <c r="L2" i="4"/>
  <c r="K3" i="4"/>
  <c r="K4" i="4"/>
  <c r="K5" i="4"/>
  <c r="K6" i="4"/>
  <c r="K2" i="4"/>
  <c r="J3" i="4"/>
  <c r="J4" i="4"/>
  <c r="J5" i="4"/>
  <c r="J6" i="4"/>
  <c r="J2" i="4"/>
  <c r="I6" i="4"/>
  <c r="I3" i="4"/>
  <c r="I4" i="4"/>
  <c r="I5" i="4"/>
  <c r="I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<sst xmlns="http://schemas.openxmlformats.org/spreadsheetml/2006/main" count="210" uniqueCount="97">
  <si>
    <t>Employee ID</t>
  </si>
  <si>
    <t>Employee Name</t>
  </si>
  <si>
    <t>Department</t>
  </si>
  <si>
    <t>Location</t>
  </si>
  <si>
    <t>Salary</t>
  </si>
  <si>
    <t>E101</t>
  </si>
  <si>
    <t>Priya</t>
  </si>
  <si>
    <t>HR</t>
  </si>
  <si>
    <t>Hyderabad</t>
  </si>
  <si>
    <t>E102</t>
  </si>
  <si>
    <t>Rahul</t>
  </si>
  <si>
    <t>IT</t>
  </si>
  <si>
    <t>Bangalore</t>
  </si>
  <si>
    <t>E103</t>
  </si>
  <si>
    <t>Anil</t>
  </si>
  <si>
    <t>Finance</t>
  </si>
  <si>
    <t>Chennai</t>
  </si>
  <si>
    <t>E104</t>
  </si>
  <si>
    <t>Sneha</t>
  </si>
  <si>
    <t>Sales</t>
  </si>
  <si>
    <t>Find Priya's department.</t>
  </si>
  <si>
    <t>Find Rahul's salary.</t>
  </si>
  <si>
    <t>Find E103's employee name.</t>
  </si>
  <si>
    <t>Find E104's location.</t>
  </si>
  <si>
    <t>Use an Employee ID entered in another cell to dynamically retrieve the department.</t>
  </si>
  <si>
    <t>Copy the formula down for multiple employees.</t>
  </si>
  <si>
    <r>
      <t xml:space="preserve">Handle an ID that doesn't exist using </t>
    </r>
    <r>
      <rPr>
        <sz val="10"/>
        <color theme="1"/>
        <rFont val="Arial Unicode MS"/>
      </rPr>
      <t>IFERROR</t>
    </r>
    <r>
      <rPr>
        <sz val="11"/>
        <color theme="1"/>
        <rFont val="Calibri"/>
        <family val="2"/>
        <scheme val="minor"/>
      </rPr>
      <t>.</t>
    </r>
  </si>
  <si>
    <t>Product ID</t>
  </si>
  <si>
    <t>P101</t>
  </si>
  <si>
    <t>P102</t>
  </si>
  <si>
    <t>P103</t>
  </si>
  <si>
    <t>P104</t>
  </si>
  <si>
    <t>Product</t>
  </si>
  <si>
    <t>Laptop</t>
  </si>
  <si>
    <t>Mouse</t>
  </si>
  <si>
    <t>Keyboard</t>
  </si>
  <si>
    <t>Monitor</t>
  </si>
  <si>
    <t>Price</t>
  </si>
  <si>
    <t>Category</t>
  </si>
  <si>
    <t>Electronics</t>
  </si>
  <si>
    <t>Accessories</t>
  </si>
  <si>
    <t>Product Name</t>
  </si>
  <si>
    <t>Supplier</t>
  </si>
  <si>
    <t>Unit Price</t>
  </si>
  <si>
    <t>Dell</t>
  </si>
  <si>
    <t>Wireless Mouse</t>
  </si>
  <si>
    <t>Logitech</t>
  </si>
  <si>
    <t>HP</t>
  </si>
  <si>
    <t>Samsung</t>
  </si>
  <si>
    <t>P105</t>
  </si>
  <si>
    <t>Printer</t>
  </si>
  <si>
    <t>Canon</t>
  </si>
  <si>
    <t>P106</t>
  </si>
  <si>
    <t>Office Chair</t>
  </si>
  <si>
    <t>Furniture</t>
  </si>
  <si>
    <t>Featherlite</t>
  </si>
  <si>
    <t>P107</t>
  </si>
  <si>
    <t>Desk</t>
  </si>
  <si>
    <t>IKEA</t>
  </si>
  <si>
    <t>P108</t>
  </si>
  <si>
    <t>Headphones</t>
  </si>
  <si>
    <t>Sony</t>
  </si>
  <si>
    <t>P109</t>
  </si>
  <si>
    <t>Webcam</t>
  </si>
  <si>
    <t>P110</t>
  </si>
  <si>
    <t>External HDD</t>
  </si>
  <si>
    <t>Storage</t>
  </si>
  <si>
    <t>Seagate</t>
  </si>
  <si>
    <t>P111</t>
  </si>
  <si>
    <t>USB Hub</t>
  </si>
  <si>
    <t>TP-Link</t>
  </si>
  <si>
    <t>P112</t>
  </si>
  <si>
    <t>Tablet</t>
  </si>
  <si>
    <t>Lenovo</t>
  </si>
  <si>
    <t>P113</t>
  </si>
  <si>
    <t>Smartphone</t>
  </si>
  <si>
    <t>P114</t>
  </si>
  <si>
    <t>Office Table</t>
  </si>
  <si>
    <t>P115</t>
  </si>
  <si>
    <t>SSD</t>
  </si>
  <si>
    <t>Lookup Product ID</t>
  </si>
  <si>
    <t>Index</t>
  </si>
  <si>
    <t>Match</t>
  </si>
  <si>
    <r>
      <t xml:space="preserve">Find the Category of </t>
    </r>
    <r>
      <rPr>
        <sz val="10"/>
        <color theme="1"/>
        <rFont val="Arial Unicode MS"/>
      </rPr>
      <t>Wireless Mouse</t>
    </r>
    <r>
      <rPr>
        <sz val="11"/>
        <color theme="1"/>
        <rFont val="Calibri"/>
        <family val="2"/>
        <scheme val="minor"/>
      </rPr>
      <t>.</t>
    </r>
  </si>
  <si>
    <r>
      <t xml:space="preserve">Find the Supplier of </t>
    </r>
    <r>
      <rPr>
        <sz val="10"/>
        <color theme="1"/>
        <rFont val="Arial Unicode MS"/>
      </rPr>
      <t>Monitor</t>
    </r>
    <r>
      <rPr>
        <sz val="11"/>
        <color theme="1"/>
        <rFont val="Calibri"/>
        <family val="2"/>
        <scheme val="minor"/>
      </rPr>
      <t>.</t>
    </r>
  </si>
  <si>
    <r>
      <t xml:space="preserve">Find the price of </t>
    </r>
    <r>
      <rPr>
        <sz val="10"/>
        <color theme="1"/>
        <rFont val="Arial Unicode MS"/>
      </rPr>
      <t>Tablet</t>
    </r>
    <r>
      <rPr>
        <sz val="11"/>
        <color theme="1"/>
        <rFont val="Calibri"/>
        <family val="2"/>
        <scheme val="minor"/>
      </rPr>
      <t>.</t>
    </r>
  </si>
  <si>
    <t>Find the Product ID of HP.</t>
  </si>
  <si>
    <t>RAHUL</t>
  </si>
  <si>
    <t xml:space="preserve">if here I want to find salary for employee ID of E101 </t>
  </si>
  <si>
    <t>using Vlookup</t>
  </si>
  <si>
    <t xml:space="preserve">if here I want to find Category for Product ID of P101 </t>
  </si>
  <si>
    <t>Here I Want To find the Employee Id for anil using XLOOKUP</t>
  </si>
  <si>
    <t>Here I Want To find the Employee Id for Aditya and display "NA"if not Found using XLOOKUP</t>
  </si>
  <si>
    <t>Aditya</t>
  </si>
  <si>
    <t>Here I want to find the position of employee ID E103 using MATCH</t>
  </si>
  <si>
    <t>Here I want to find the value of employee ID E103 using MATCH&amp;INDEX</t>
  </si>
  <si>
    <t>aditya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</si>
</sst>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01B-5308-432A-A365-52CCB7CAD6E6}">
  <dimension ref="A1:Q16"/>
  <sheetViews>
    <sheetView zoomScale="141" workbookViewId="0">
      <selection activeCell="I6" sqref="I6"/>
    </sheetView>
  </sheetViews>
  <sheetFormatPr defaultRowHeight="14.4"/>
  <cols>
    <col min="1" max="1" width="16" customWidth="1"/>
    <col min="2" max="2" width="15.109375" customWidth="1"/>
    <col min="3" max="3" width="15.5546875" customWidth="1"/>
    <col min="4" max="4" width="14.21875" customWidth="1"/>
    <col min="5" max="5" width="12.44140625" customWidth="1"/>
    <col min="6" max="6" width="11.5546875" customWidth="1"/>
    <col min="14" max="14" width="17.664062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17">
      <c r="A2" s="5" t="s">
        <v>5</v>
      </c>
      <c r="B2" s="5" t="s">
        <v>6</v>
      </c>
      <c r="C2" s="5" t="s">
        <v>7</v>
      </c>
      <c r="D2" s="5" t="s">
        <v>8</v>
      </c>
      <c r="E2" s="3">
        <v>40000</v>
      </c>
    </row>
    <row r="3" spans="1:17">
      <c r="A3" s="5" t="s">
        <v>9</v>
      </c>
      <c r="B3" s="5" t="s">
        <v>10</v>
      </c>
      <c r="C3" s="5" t="s">
        <v>11</v>
      </c>
      <c r="D3" s="5" t="s">
        <v>12</v>
      </c>
      <c r="E3" s="3">
        <v>55000</v>
      </c>
      <c r="I3" t="s">
        <v>6</v>
      </c>
    </row>
    <row r="4" spans="1:17">
      <c r="A4" s="5" t="s">
        <v>13</v>
      </c>
      <c r="B4" s="5" t="s">
        <v>14</v>
      </c>
      <c r="C4" s="5" t="s">
        <v>15</v>
      </c>
      <c r="D4" s="5" t="s">
        <v>16</v>
      </c>
      <c r="E4" s="3">
        <v>48000</v>
      </c>
      <c r="I4" t="s">
        <v>87</v>
      </c>
    </row>
    <row r="5" spans="1:17">
      <c r="A5" s="5" t="s">
        <v>17</v>
      </c>
      <c r="B5" s="5" t="s">
        <v>18</v>
      </c>
      <c r="C5" s="5" t="s">
        <v>19</v>
      </c>
      <c r="D5" s="5" t="s">
        <v>8</v>
      </c>
      <c r="E5" s="3">
        <v>42000</v>
      </c>
    </row>
    <row r="8" spans="1:17">
      <c r="A8" t="s">
        <v>20</v>
      </c>
      <c r="C8" t="str">
        <f>VLOOKUP(I3,B2:E5,2,FALSE)</f>
        <v>HR</v>
      </c>
      <c r="F8" s="6"/>
      <c r="I8" t="s">
        <v>0</v>
      </c>
      <c r="K8" t="s">
        <v>17</v>
      </c>
      <c r="P8" t="s">
        <v>5</v>
      </c>
    </row>
    <row r="9" spans="1:17">
      <c r="A9" t="s">
        <v>21</v>
      </c>
      <c r="C9" t="str">
        <f>VLOOKUP(I4,B3:E6,2,FALSE)</f>
        <v>IT</v>
      </c>
      <c r="F9" s="6"/>
    </row>
    <row r="10" spans="1:17">
      <c r="A10" t="s">
        <v>22</v>
      </c>
      <c r="C10" t="str">
        <f>VLOOKUP(A4,A2:E5,2,FALSE)</f>
        <v>Anil</v>
      </c>
      <c r="F10" s="6"/>
    </row>
    <row r="11" spans="1:17">
      <c r="A11" t="s">
        <v>23</v>
      </c>
      <c r="C11" t="str">
        <f>VLOOKUP(A5,A2:E5,4,FALSE)</f>
        <v>Hyderabad</v>
      </c>
      <c r="F11" s="6"/>
      <c r="K11" t="s">
        <v>88</v>
      </c>
      <c r="O11" t="s">
        <v>89</v>
      </c>
      <c r="Q11">
        <f>VLOOKUP(P8,A2:E5,5,FALSE)</f>
        <v>40000</v>
      </c>
    </row>
    <row r="12" spans="1:17">
      <c r="A12" t="s">
        <v>24</v>
      </c>
      <c r="F12" s="6" t="str">
        <f>VLOOKUP(K8,A2:E5,3,FALSE)</f>
        <v>Sales</v>
      </c>
    </row>
    <row r="13" spans="1:17">
      <c r="A13" t="s">
        <v>25</v>
      </c>
      <c r="F13" s="6"/>
    </row>
    <row r="14" spans="1:17">
      <c r="A14" t="s">
        <v>26</v>
      </c>
      <c r="F14" s="6"/>
    </row>
    <row r="15" spans="1:17">
      <c r="F15" s="6"/>
    </row>
    <row r="16" spans="1:17">
      <c r="F16" s="6"/>
    </row>
  </sheetData>
  <dataValidations count="1">
    <dataValidation type="list" allowBlank="1" showInputMessage="1" showErrorMessage="1" sqref="K8" xr:uid="{D595A3C5-2328-4CD3-B5E2-C2E878151EBD}">
      <formula1>$A$2:$A$5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5416-29AB-4D9C-95FF-9DAA98656059}">
  <dimension ref="A1:O11"/>
  <sheetViews>
    <sheetView zoomScale="92" workbookViewId="0">
      <selection activeCell="O12" sqref="O12"/>
    </sheetView>
  </sheetViews>
  <sheetFormatPr defaultRowHeight="14.4"/>
  <cols>
    <col min="1" max="1" width="12" customWidth="1"/>
    <col min="2" max="2" width="11.88671875" customWidth="1"/>
    <col min="3" max="3" width="11.109375" customWidth="1"/>
    <col min="4" max="4" width="12.21875" customWidth="1"/>
    <col min="5" max="5" width="14.6640625" customWidth="1"/>
  </cols>
  <sheetData>
    <row r="1" spans="1:15">
      <c r="A1" s="7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15">
      <c r="A2" s="7" t="s">
        <v>32</v>
      </c>
      <c r="B2" s="1" t="s">
        <v>33</v>
      </c>
      <c r="C2" s="1" t="s">
        <v>34</v>
      </c>
      <c r="D2" s="1" t="s">
        <v>35</v>
      </c>
      <c r="E2" s="1" t="s">
        <v>36</v>
      </c>
    </row>
    <row r="3" spans="1:15">
      <c r="A3" s="7" t="s">
        <v>37</v>
      </c>
      <c r="B3" s="1">
        <v>55000</v>
      </c>
      <c r="C3" s="1">
        <v>800</v>
      </c>
      <c r="D3" s="1">
        <v>1500</v>
      </c>
      <c r="E3" s="1">
        <v>12000</v>
      </c>
    </row>
    <row r="4" spans="1:15">
      <c r="A4" s="7" t="s">
        <v>38</v>
      </c>
      <c r="B4" s="1" t="s">
        <v>39</v>
      </c>
      <c r="C4" s="1" t="s">
        <v>40</v>
      </c>
      <c r="D4" s="1" t="s">
        <v>40</v>
      </c>
      <c r="E4" s="1" t="s">
        <v>39</v>
      </c>
    </row>
    <row r="6" spans="1:15">
      <c r="B6" s="1" t="s">
        <v>32</v>
      </c>
      <c r="C6" s="1" t="s">
        <v>37</v>
      </c>
    </row>
    <row r="7" spans="1:15">
      <c r="A7" s="7" t="s">
        <v>28</v>
      </c>
      <c r="B7" t="str">
        <f>HLOOKUP(A7,$B$1:$E$4,2,FALSE)</f>
        <v>Laptop</v>
      </c>
      <c r="C7">
        <f>HLOOKUP(A7,$B$1:$E$4,3,FALSE)</f>
        <v>55000</v>
      </c>
    </row>
    <row r="8" spans="1:15">
      <c r="A8" s="7" t="s">
        <v>29</v>
      </c>
      <c r="B8" t="str">
        <f t="shared" ref="B8:B10" si="0">HLOOKUP(A8,$B$1:$E$4,2,FALSE)</f>
        <v>Mouse</v>
      </c>
      <c r="C8">
        <f t="shared" ref="C8:C10" si="1">HLOOKUP(A8,$B$1:$E$4,3,FALSE)</f>
        <v>800</v>
      </c>
    </row>
    <row r="9" spans="1:15">
      <c r="A9" s="7" t="s">
        <v>30</v>
      </c>
      <c r="B9" t="str">
        <f t="shared" si="0"/>
        <v>Keyboard</v>
      </c>
      <c r="C9">
        <f t="shared" si="1"/>
        <v>1500</v>
      </c>
    </row>
    <row r="10" spans="1:15">
      <c r="A10" s="7" t="s">
        <v>31</v>
      </c>
      <c r="B10" t="str">
        <f t="shared" si="0"/>
        <v>Monitor</v>
      </c>
      <c r="C10">
        <f t="shared" si="1"/>
        <v>12000</v>
      </c>
    </row>
    <row r="11" spans="1:15">
      <c r="A11" s="7"/>
      <c r="B11" t="s">
        <v>33</v>
      </c>
      <c r="I11" s="13" t="s">
        <v>90</v>
      </c>
      <c r="J11" s="13"/>
      <c r="K11" s="13"/>
      <c r="L11" s="13"/>
      <c r="M11" s="13"/>
      <c r="O11" t="str">
        <f>HLOOKUP(B1,B1:E4,4,FALSE)</f>
        <v>Electronics</v>
      </c>
    </row>
  </sheetData>
  <mergeCells count="1">
    <mergeCell ref="I11:M1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B326-44C7-49A9-B33C-5A461DD19575}">
  <dimension ref="A1:Q21"/>
  <sheetViews>
    <sheetView zoomScale="134" workbookViewId="0">
      <selection activeCell="K6" sqref="K6"/>
    </sheetView>
  </sheetViews>
  <sheetFormatPr defaultRowHeight="14.4"/>
  <cols>
    <col min="1" max="1" width="14.109375" customWidth="1"/>
    <col min="2" max="2" width="15.77734375" customWidth="1"/>
    <col min="3" max="3" width="17" customWidth="1"/>
    <col min="13" max="13" width="36.33203125" customWidth="1"/>
  </cols>
  <sheetData>
    <row r="1" spans="1:17">
      <c r="A1" s="2" t="s">
        <v>0</v>
      </c>
      <c r="B1" s="2" t="s">
        <v>1</v>
      </c>
      <c r="C1" s="2" t="s">
        <v>2</v>
      </c>
      <c r="D1" s="4" t="s">
        <v>4</v>
      </c>
    </row>
    <row r="2" spans="1:17">
      <c r="A2" s="5" t="s">
        <v>5</v>
      </c>
      <c r="B2" s="5" t="s">
        <v>6</v>
      </c>
      <c r="C2" s="5" t="s">
        <v>7</v>
      </c>
      <c r="D2" s="8">
        <v>40000</v>
      </c>
    </row>
    <row r="3" spans="1:17">
      <c r="A3" s="5" t="s">
        <v>9</v>
      </c>
      <c r="B3" s="5" t="s">
        <v>10</v>
      </c>
      <c r="C3" s="5" t="s">
        <v>11</v>
      </c>
      <c r="D3" s="8">
        <v>55000</v>
      </c>
      <c r="J3" t="s">
        <v>96</v>
      </c>
    </row>
    <row r="4" spans="1:17">
      <c r="A4" s="5" t="s">
        <v>13</v>
      </c>
      <c r="B4" s="5" t="s">
        <v>14</v>
      </c>
      <c r="C4" s="5" t="s">
        <v>15</v>
      </c>
      <c r="D4" s="8">
        <v>48000</v>
      </c>
    </row>
    <row r="5" spans="1:17">
      <c r="A5" s="5" t="s">
        <v>17</v>
      </c>
      <c r="B5" s="5" t="s">
        <v>18</v>
      </c>
      <c r="C5" s="5" t="s">
        <v>19</v>
      </c>
      <c r="D5" s="8">
        <v>42000</v>
      </c>
      <c r="J5" t="str">
        <f>VLOOKUP(B2,B2:D5,2,FALSE)</f>
        <v>HR</v>
      </c>
      <c r="K5" t="str">
        <f>_xlfn.XLOOKUP(J3,B2:B5,A2:A5,"Not Found")</f>
        <v>Not Found</v>
      </c>
    </row>
    <row r="6" spans="1:17">
      <c r="G6" t="str">
        <f>VLOOKUP(A2,A2:D5,3,FALSE)</f>
        <v>HR</v>
      </c>
      <c r="J6" t="str">
        <f>_xlfn.XLOOKUP(B2,B2:B5,A2:A5)</f>
        <v>E101</v>
      </c>
    </row>
    <row r="8" spans="1:17">
      <c r="A8" s="5"/>
    </row>
    <row r="10" spans="1:17">
      <c r="H10" t="s">
        <v>91</v>
      </c>
      <c r="O10" t="str">
        <f>_xlfn.XLOOKUP(B4,B2:B5,A2:A5)</f>
        <v>E103</v>
      </c>
      <c r="Q10" t="s">
        <v>93</v>
      </c>
    </row>
    <row r="13" spans="1:17">
      <c r="H13" t="s">
        <v>92</v>
      </c>
      <c r="O13" t="str">
        <f>_xlfn.XLOOKUP(Q10,B2:B5,A2:A5,"NA")</f>
        <v>NA</v>
      </c>
    </row>
    <row r="18" spans="8:16">
      <c r="H18" s="13" t="s">
        <v>94</v>
      </c>
      <c r="I18" s="13"/>
      <c r="J18" s="13"/>
      <c r="K18" s="13"/>
      <c r="L18" s="13"/>
      <c r="M18" s="13"/>
      <c r="O18">
        <f>MATCH(A4,A2:A5,0)</f>
        <v>3</v>
      </c>
    </row>
    <row r="21" spans="8:16">
      <c r="I21" s="13" t="s">
        <v>95</v>
      </c>
      <c r="J21" s="13"/>
      <c r="K21" s="13"/>
      <c r="L21" s="13"/>
      <c r="M21" s="13"/>
      <c r="N21" s="13"/>
      <c r="P21" t="str" cm="1">
        <f t="array" ref="P21">INDEX(A2:A5,O18)</f>
        <v>E103</v>
      </c>
    </row>
  </sheetData>
  <mergeCells count="2">
    <mergeCell ref="H18:M18"/>
    <mergeCell ref="I21:N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D28A-EBBF-4EC4-99ED-23DD64485381}">
  <dimension ref="A1:L16"/>
  <sheetViews>
    <sheetView workbookViewId="0">
      <selection activeCell="H23" sqref="H23"/>
    </sheetView>
  </sheetViews>
  <sheetFormatPr defaultRowHeight="14.4"/>
  <cols>
    <col min="2" max="2" width="16.33203125" customWidth="1"/>
    <col min="3" max="3" width="15.5546875" customWidth="1"/>
    <col min="4" max="4" width="15.21875" customWidth="1"/>
    <col min="5" max="5" width="13.109375" customWidth="1"/>
    <col min="8" max="8" width="14.21875" customWidth="1"/>
    <col min="9" max="9" width="16.21875" customWidth="1"/>
    <col min="10" max="10" width="14.21875" customWidth="1"/>
    <col min="11" max="11" width="12" customWidth="1"/>
    <col min="12" max="12" width="13.21875" customWidth="1"/>
  </cols>
  <sheetData>
    <row r="1" spans="1:12" ht="28.8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  <c r="H1" s="2" t="s">
        <v>80</v>
      </c>
      <c r="I1" s="2" t="s">
        <v>41</v>
      </c>
      <c r="J1" s="2" t="s">
        <v>38</v>
      </c>
      <c r="K1" s="2" t="s">
        <v>42</v>
      </c>
      <c r="L1" s="2" t="s">
        <v>43</v>
      </c>
    </row>
    <row r="2" spans="1:12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  <c r="H2" s="5" t="s">
        <v>30</v>
      </c>
      <c r="I2" s="5" t="str">
        <f>VLOOKUP(H2,A2:E16,2,FALSE)</f>
        <v>Keyboard</v>
      </c>
      <c r="J2" s="5" t="str">
        <f>VLOOKUP(H2,$A$2:$E$16,3,FALSE)</f>
        <v>Accessories</v>
      </c>
      <c r="K2" s="5" t="str">
        <f>VLOOKUP(H2,$A$2:$E$16,4,FALSE)</f>
        <v>HP</v>
      </c>
      <c r="L2" s="5">
        <f>VLOOKUP(H2,$A$2:$E$16,5,FALSE)</f>
        <v>1800</v>
      </c>
    </row>
    <row r="3" spans="1:12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  <c r="H3" s="5" t="s">
        <v>59</v>
      </c>
      <c r="I3" s="5" t="str">
        <f t="shared" ref="I3:I5" si="0">VLOOKUP(H3,A3:E17,2,FALSE)</f>
        <v>Headphones</v>
      </c>
      <c r="J3" s="5" t="str">
        <f t="shared" ref="J3:J6" si="1">VLOOKUP(H3,$A$2:$E$16,3,FALSE)</f>
        <v>Accessories</v>
      </c>
      <c r="K3" s="5" t="str">
        <f t="shared" ref="K3:K6" si="2">VLOOKUP(H3,$A$2:$E$16,4,FALSE)</f>
        <v>Sony</v>
      </c>
      <c r="L3" s="5">
        <f t="shared" ref="L3:L6" si="3">VLOOKUP(H3,$A$2:$E$16,5,FALSE)</f>
        <v>3500</v>
      </c>
    </row>
    <row r="4" spans="1:12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  <c r="H4" s="5" t="s">
        <v>71</v>
      </c>
      <c r="I4" s="5" t="str">
        <f t="shared" si="0"/>
        <v>Tablet</v>
      </c>
      <c r="J4" s="5" t="str">
        <f t="shared" si="1"/>
        <v>Electronics</v>
      </c>
      <c r="K4" s="5" t="str">
        <f t="shared" si="2"/>
        <v>Lenovo</v>
      </c>
      <c r="L4" s="5">
        <f t="shared" si="3"/>
        <v>28000</v>
      </c>
    </row>
    <row r="5" spans="1:12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  <c r="H5" s="5" t="s">
        <v>78</v>
      </c>
      <c r="I5" s="5" t="str">
        <f t="shared" si="0"/>
        <v>SSD</v>
      </c>
      <c r="J5" s="5" t="str">
        <f t="shared" si="1"/>
        <v>Storage</v>
      </c>
      <c r="K5" s="5" t="str">
        <f t="shared" si="2"/>
        <v>Samsung</v>
      </c>
      <c r="L5" s="5">
        <f t="shared" si="3"/>
        <v>7500</v>
      </c>
    </row>
    <row r="6" spans="1:12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  <c r="H6" s="5" t="s">
        <v>28</v>
      </c>
      <c r="I6" s="5" t="str">
        <f>VLOOKUP(H6,A2:E16,2,FALSE)</f>
        <v>Laptop</v>
      </c>
      <c r="J6" s="5" t="str">
        <f t="shared" si="1"/>
        <v>Electronics</v>
      </c>
      <c r="K6" s="5" t="str">
        <f t="shared" si="2"/>
        <v>Dell</v>
      </c>
      <c r="L6" s="5">
        <f t="shared" si="3"/>
        <v>55000</v>
      </c>
    </row>
    <row r="7" spans="1:12">
      <c r="A7" s="1" t="s">
        <v>52</v>
      </c>
      <c r="B7" s="1" t="s">
        <v>53</v>
      </c>
      <c r="C7" s="1" t="s">
        <v>54</v>
      </c>
      <c r="D7" s="1" t="s">
        <v>55</v>
      </c>
      <c r="E7" s="1">
        <v>8500</v>
      </c>
    </row>
    <row r="8" spans="1:12">
      <c r="A8" s="1" t="s">
        <v>56</v>
      </c>
      <c r="B8" s="1" t="s">
        <v>57</v>
      </c>
      <c r="C8" s="1" t="s">
        <v>54</v>
      </c>
      <c r="D8" s="1" t="s">
        <v>58</v>
      </c>
      <c r="E8" s="1">
        <v>12000</v>
      </c>
    </row>
    <row r="9" spans="1:12">
      <c r="A9" s="1" t="s">
        <v>59</v>
      </c>
      <c r="B9" s="1" t="s">
        <v>60</v>
      </c>
      <c r="C9" s="1" t="s">
        <v>40</v>
      </c>
      <c r="D9" s="1" t="s">
        <v>61</v>
      </c>
      <c r="E9" s="1">
        <v>3500</v>
      </c>
      <c r="H9" s="7" t="s">
        <v>41</v>
      </c>
      <c r="I9" s="7" t="s">
        <v>27</v>
      </c>
    </row>
    <row r="10" spans="1:12">
      <c r="A10" s="1" t="s">
        <v>62</v>
      </c>
      <c r="B10" s="1" t="s">
        <v>63</v>
      </c>
      <c r="C10" s="1" t="s">
        <v>39</v>
      </c>
      <c r="D10" s="1" t="s">
        <v>46</v>
      </c>
      <c r="E10" s="1">
        <v>4500</v>
      </c>
      <c r="H10" s="5" t="s">
        <v>35</v>
      </c>
      <c r="I10" s="5" t="str">
        <f>_xlfn.XLOOKUP(H10,B2:B16,A2:A16)</f>
        <v>P103</v>
      </c>
    </row>
    <row r="11" spans="1:12">
      <c r="A11" s="1" t="s">
        <v>64</v>
      </c>
      <c r="B11" s="1" t="s">
        <v>65</v>
      </c>
      <c r="C11" s="1" t="s">
        <v>66</v>
      </c>
      <c r="D11" s="1" t="s">
        <v>67</v>
      </c>
      <c r="E11" s="1">
        <v>6500</v>
      </c>
      <c r="H11" s="5" t="s">
        <v>50</v>
      </c>
      <c r="I11" s="5" t="str">
        <f t="shared" ref="I11:I14" si="4">_xlfn.XLOOKUP(H11,B3:B17,A3:A17)</f>
        <v>P105</v>
      </c>
    </row>
    <row r="12" spans="1:12">
      <c r="A12" s="1" t="s">
        <v>68</v>
      </c>
      <c r="B12" s="1" t="s">
        <v>69</v>
      </c>
      <c r="C12" s="1" t="s">
        <v>40</v>
      </c>
      <c r="D12" s="1" t="s">
        <v>70</v>
      </c>
      <c r="E12" s="1">
        <v>1500</v>
      </c>
      <c r="H12" s="5" t="s">
        <v>72</v>
      </c>
      <c r="I12" s="5" t="str">
        <f t="shared" si="4"/>
        <v>P112</v>
      </c>
    </row>
    <row r="13" spans="1:12">
      <c r="A13" s="1" t="s">
        <v>71</v>
      </c>
      <c r="B13" s="1" t="s">
        <v>72</v>
      </c>
      <c r="C13" s="1" t="s">
        <v>39</v>
      </c>
      <c r="D13" s="1" t="s">
        <v>73</v>
      </c>
      <c r="E13" s="1">
        <v>28000</v>
      </c>
      <c r="H13" s="5" t="s">
        <v>75</v>
      </c>
      <c r="I13" s="5" t="str">
        <f t="shared" si="4"/>
        <v>P113</v>
      </c>
    </row>
    <row r="14" spans="1:12">
      <c r="A14" s="1" t="s">
        <v>74</v>
      </c>
      <c r="B14" s="1" t="s">
        <v>75</v>
      </c>
      <c r="C14" s="1" t="s">
        <v>39</v>
      </c>
      <c r="D14" s="1" t="s">
        <v>48</v>
      </c>
      <c r="E14" s="1">
        <v>32000</v>
      </c>
      <c r="H14" s="5" t="s">
        <v>57</v>
      </c>
      <c r="I14" s="5" t="str">
        <f t="shared" si="4"/>
        <v>P107</v>
      </c>
    </row>
    <row r="15" spans="1:12">
      <c r="A15" s="1" t="s">
        <v>76</v>
      </c>
      <c r="B15" s="1" t="s">
        <v>77</v>
      </c>
      <c r="C15" s="1" t="s">
        <v>54</v>
      </c>
      <c r="D15" s="1" t="s">
        <v>58</v>
      </c>
      <c r="E15" s="1">
        <v>14500</v>
      </c>
    </row>
    <row r="16" spans="1:12">
      <c r="A16" s="1" t="s">
        <v>78</v>
      </c>
      <c r="B16" s="1" t="s">
        <v>79</v>
      </c>
      <c r="C16" s="1" t="s">
        <v>66</v>
      </c>
      <c r="D16" s="1" t="s">
        <v>48</v>
      </c>
      <c r="E16" s="1">
        <v>7500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8263-99DA-4BB9-9517-C0D4BE274FA7}">
  <dimension ref="A6:L10"/>
  <sheetViews>
    <sheetView tabSelected="1" workbookViewId="0">
      <selection activeCell="M7" sqref="M7"/>
    </sheetView>
  </sheetViews>
  <sheetFormatPr defaultRowHeight="14.4"/>
  <cols>
    <col min="1" max="1" width="8.88671875" style="6"/>
    <col min="9" max="9" width="8.77734375" customWidth="1"/>
    <col min="10" max="10" width="20.109375" customWidth="1"/>
    <col min="11" max="11" width="15.77734375" customWidth="1"/>
    <col min="12" max="12" width="17.88671875" customWidth="1"/>
  </cols>
  <sheetData>
    <row r="6" spans="10:12" ht="21">
      <c r="J6" s="9" t="s">
        <v>32</v>
      </c>
      <c r="K6" s="12" t="s">
        <v>82</v>
      </c>
      <c r="L6" s="12" t="s">
        <v>81</v>
      </c>
    </row>
    <row r="7" spans="10:12" ht="21">
      <c r="J7" s="10" t="s">
        <v>33</v>
      </c>
      <c r="K7" s="11">
        <f>MATCH(J7,$J$7:$J$10,0)</f>
        <v>1</v>
      </c>
      <c r="L7" s="11" t="str" cm="1">
        <f t="array" ref="L7">INDEX($J$7:$J$10,K7)</f>
        <v>Laptop</v>
      </c>
    </row>
    <row r="8" spans="10:12" ht="21">
      <c r="J8" s="10" t="s">
        <v>34</v>
      </c>
      <c r="K8" s="11">
        <f t="shared" ref="K8:K10" si="0">MATCH(J8,$J$7:$J$10,0)</f>
        <v>2</v>
      </c>
      <c r="L8" s="11" t="str" cm="1">
        <f t="array" ref="L8">INDEX($J$7:$J$10,K8)</f>
        <v>Mouse</v>
      </c>
    </row>
    <row r="9" spans="10:12" ht="21">
      <c r="J9" s="10" t="s">
        <v>35</v>
      </c>
      <c r="K9" s="11">
        <f t="shared" si="0"/>
        <v>3</v>
      </c>
      <c r="L9" s="11" t="str" cm="1">
        <f t="array" ref="L9">INDEX($J$7:$J$10,K9)</f>
        <v>Keyboard</v>
      </c>
    </row>
    <row r="10" spans="10:12" ht="21">
      <c r="J10" s="10" t="s">
        <v>36</v>
      </c>
      <c r="K10" s="11">
        <f t="shared" si="0"/>
        <v>4</v>
      </c>
      <c r="L10" s="11" t="str" cm="1">
        <f t="array" ref="L10">INDEX($J$7:$J$10,K10)</f>
        <v>Monitor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AB18-6792-45AC-B78E-D1B6211EA864}">
  <dimension ref="A1:I18"/>
  <sheetViews>
    <sheetView workbookViewId="0">
      <selection activeCell="M14" sqref="M14"/>
    </sheetView>
  </sheetViews>
  <sheetFormatPr defaultRowHeight="14.4"/>
  <cols>
    <col min="1" max="1" width="12.44140625" customWidth="1"/>
    <col min="2" max="2" width="15.77734375" customWidth="1"/>
    <col min="3" max="3" width="13" customWidth="1"/>
    <col min="4" max="5" width="11.5546875" customWidth="1"/>
    <col min="6" max="6" width="16.33203125" customWidth="1"/>
    <col min="7" max="7" width="13.44140625" customWidth="1"/>
    <col min="8" max="8" width="9.33203125" customWidth="1"/>
  </cols>
  <sheetData>
    <row r="1" spans="1:9">
      <c r="A1" s="2" t="s">
        <v>27</v>
      </c>
      <c r="B1" s="2" t="s">
        <v>41</v>
      </c>
      <c r="C1" s="2" t="s">
        <v>38</v>
      </c>
      <c r="D1" s="2" t="s">
        <v>42</v>
      </c>
      <c r="E1" s="2" t="s">
        <v>43</v>
      </c>
    </row>
    <row r="2" spans="1:9">
      <c r="A2" s="1" t="s">
        <v>28</v>
      </c>
      <c r="B2" s="1" t="s">
        <v>33</v>
      </c>
      <c r="C2" s="1" t="s">
        <v>39</v>
      </c>
      <c r="D2" s="1" t="s">
        <v>44</v>
      </c>
      <c r="E2" s="1">
        <v>55000</v>
      </c>
    </row>
    <row r="3" spans="1:9">
      <c r="A3" s="1" t="s">
        <v>29</v>
      </c>
      <c r="B3" s="1" t="s">
        <v>45</v>
      </c>
      <c r="C3" s="1" t="s">
        <v>40</v>
      </c>
      <c r="D3" s="1" t="s">
        <v>46</v>
      </c>
      <c r="E3" s="1">
        <v>1200</v>
      </c>
    </row>
    <row r="4" spans="1:9">
      <c r="A4" s="1" t="s">
        <v>30</v>
      </c>
      <c r="B4" s="1" t="s">
        <v>35</v>
      </c>
      <c r="C4" s="1" t="s">
        <v>40</v>
      </c>
      <c r="D4" s="1" t="s">
        <v>47</v>
      </c>
      <c r="E4" s="1">
        <v>1800</v>
      </c>
    </row>
    <row r="5" spans="1:9">
      <c r="A5" s="1" t="s">
        <v>31</v>
      </c>
      <c r="B5" s="1" t="s">
        <v>36</v>
      </c>
      <c r="C5" s="1" t="s">
        <v>39</v>
      </c>
      <c r="D5" s="1" t="s">
        <v>48</v>
      </c>
      <c r="E5" s="1">
        <v>15000</v>
      </c>
    </row>
    <row r="6" spans="1:9">
      <c r="A6" s="1" t="s">
        <v>49</v>
      </c>
      <c r="B6" s="1" t="s">
        <v>50</v>
      </c>
      <c r="C6" s="1" t="s">
        <v>39</v>
      </c>
      <c r="D6" s="1" t="s">
        <v>51</v>
      </c>
      <c r="E6" s="1">
        <v>12500</v>
      </c>
    </row>
    <row r="7" spans="1:9">
      <c r="A7" s="5"/>
      <c r="B7" s="5"/>
      <c r="C7" s="5"/>
      <c r="D7" s="5"/>
      <c r="E7" s="5"/>
    </row>
    <row r="9" spans="1:9" ht="28.8">
      <c r="E9" s="2" t="s">
        <v>27</v>
      </c>
      <c r="F9" s="2" t="s">
        <v>41</v>
      </c>
      <c r="G9" s="2" t="s">
        <v>38</v>
      </c>
      <c r="H9" s="2" t="s">
        <v>42</v>
      </c>
      <c r="I9" s="2" t="s">
        <v>43</v>
      </c>
    </row>
    <row r="10" spans="1:9">
      <c r="A10" t="s">
        <v>83</v>
      </c>
      <c r="D10" t="str">
        <f>VLOOKUP(B3,B2:E6,2,FALSE)</f>
        <v>Accessories</v>
      </c>
      <c r="E10" s="1" t="s">
        <v>28</v>
      </c>
      <c r="F10" s="6" t="str">
        <f>_xlfn.XLOOKUP(E10,$A$2:$A$6,$B$2:$B$6)</f>
        <v>Laptop</v>
      </c>
      <c r="G10" s="6" t="str">
        <f>_xlfn.XLOOKUP(E10,$A$2:$A$6,$C$2:$C$6)</f>
        <v>Electronics</v>
      </c>
      <c r="H10" s="6" t="str">
        <f>_xlfn.XLOOKUP(E10,$A$2:$A$6,$D$2:$D$6)</f>
        <v>Dell</v>
      </c>
      <c r="I10" s="6">
        <f>_xlfn.XLOOKUP(E10,$A$2:$A$6,$E$2:$E$6)</f>
        <v>55000</v>
      </c>
    </row>
    <row r="11" spans="1:9">
      <c r="E11" s="1" t="s">
        <v>29</v>
      </c>
      <c r="F11" s="6" t="str">
        <f t="shared" ref="F11:F14" si="0">_xlfn.XLOOKUP(E11,$A$2:$A$6,$B$2:$B$6)</f>
        <v>Wireless Mouse</v>
      </c>
      <c r="G11" s="6" t="str">
        <f t="shared" ref="G11:G14" si="1">_xlfn.XLOOKUP(E11,$A$2:$A$6,$C$2:$C$6)</f>
        <v>Accessories</v>
      </c>
      <c r="H11" s="6" t="str">
        <f t="shared" ref="H11:H14" si="2">_xlfn.XLOOKUP(E11,$A$2:$A$6,$D$2:$D$6)</f>
        <v>Logitech</v>
      </c>
      <c r="I11" s="6">
        <f t="shared" ref="I11:I14" si="3">_xlfn.XLOOKUP(E11,$A$2:$A$6,$E$2:$E$6)</f>
        <v>1200</v>
      </c>
    </row>
    <row r="12" spans="1:9">
      <c r="A12" t="s">
        <v>84</v>
      </c>
      <c r="D12" t="str">
        <f>VLOOKUP(B5,B2:E6,3,FALSE)</f>
        <v>Samsung</v>
      </c>
      <c r="E12" s="1" t="s">
        <v>30</v>
      </c>
      <c r="F12" s="6" t="str">
        <f t="shared" si="0"/>
        <v>Keyboard</v>
      </c>
      <c r="G12" s="6" t="str">
        <f t="shared" si="1"/>
        <v>Accessories</v>
      </c>
      <c r="H12" s="6" t="str">
        <f t="shared" si="2"/>
        <v>HP</v>
      </c>
      <c r="I12" s="6">
        <f t="shared" si="3"/>
        <v>1800</v>
      </c>
    </row>
    <row r="13" spans="1:9">
      <c r="E13" s="1" t="s">
        <v>31</v>
      </c>
      <c r="F13" s="6" t="str">
        <f t="shared" si="0"/>
        <v>Monitor</v>
      </c>
      <c r="G13" s="6" t="str">
        <f t="shared" si="1"/>
        <v>Electronics</v>
      </c>
      <c r="H13" s="6" t="str">
        <f t="shared" si="2"/>
        <v>Samsung</v>
      </c>
      <c r="I13" s="6">
        <f t="shared" si="3"/>
        <v>15000</v>
      </c>
    </row>
    <row r="14" spans="1:9">
      <c r="A14" t="s">
        <v>85</v>
      </c>
      <c r="D14" t="str">
        <f>_xlfn.XLOOKUP(B18,B2:B6,E2:E6,"NOT FOUND")</f>
        <v>NOT FOUND</v>
      </c>
      <c r="E14" s="1" t="s">
        <v>49</v>
      </c>
      <c r="F14" s="6" t="str">
        <f t="shared" si="0"/>
        <v>Printer</v>
      </c>
      <c r="G14" s="6" t="str">
        <f t="shared" si="1"/>
        <v>Electronics</v>
      </c>
      <c r="H14" s="6" t="str">
        <f t="shared" si="2"/>
        <v>Canon</v>
      </c>
      <c r="I14" s="6">
        <f t="shared" si="3"/>
        <v>12500</v>
      </c>
    </row>
    <row r="16" spans="1:9">
      <c r="A16" t="s">
        <v>86</v>
      </c>
      <c r="D16" t="str">
        <f>_xlfn.XLOOKUP(D4,D2:D6,A2:A6)</f>
        <v>P103</v>
      </c>
    </row>
    <row r="18" spans="2:2">
      <c r="B1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Vlookup</vt:lpstr>
      <vt:lpstr>Hlookup</vt:lpstr>
      <vt:lpstr>Xlookup</vt:lpstr>
      <vt:lpstr>Practice</vt:lpstr>
      <vt:lpstr>Index, Match</vt:lpstr>
      <vt:lpstr>Practice2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2026-09-09T14:34:29Z</dcterms:created>
  <dcterms:modified xsi:type="dcterms:W3CDTF">2026-10-01T12:11:50Z</dcterms:modified>
</cp:coreProperties>
</file>